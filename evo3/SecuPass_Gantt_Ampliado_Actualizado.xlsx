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Secu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C3E50"/>
      <sz val="16"/>
    </font>
    <font>
      <name val="Arial"/>
      <i val="1"/>
      <color rgb="007F8C8D"/>
      <sz val="10"/>
    </font>
    <font>
      <name val="Arial"/>
      <b val="1"/>
      <color rgb="00FFFFFF"/>
      <sz val="11"/>
    </font>
    <font>
      <name val="Arial"/>
      <b val="1"/>
      <color rgb="002C3E50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ECEE"/>
        <bgColor rgb="00EAECEE"/>
      </patternFill>
    </fill>
    <fill>
      <patternFill patternType="solid">
        <fgColor rgb="00F8F9F9"/>
        <bgColor rgb="00F8F9F9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2" customWidth="1" min="3" max="3"/>
    <col width="16" customWidth="1" min="4" max="4"/>
    <col width="17" customWidth="1" min="5" max="5"/>
    <col width="44" customWidth="1" min="6" max="6"/>
  </cols>
  <sheetData>
    <row r="1">
      <c r="A1" s="1" t="inlineStr">
        <is>
          <t>SecuPass - Sistema de Gestión Aduanera (SAD)</t>
        </is>
      </c>
    </row>
    <row r="2">
      <c r="A2" s="2" t="inlineStr">
        <is>
          <t>DUOC UC — Escuela de Informática y Telecomunicaciones | Ingeniería de Software (RQY1102)</t>
        </is>
      </c>
    </row>
    <row r="3">
      <c r="A3" s="2" t="inlineStr">
        <is>
          <t>Equipo: Bastian Flores (Gestor/Backend) | Omar Piña (Tester) | Eduardo Aguirre (Diseñador) | Matías Soto (Analista)</t>
        </is>
      </c>
    </row>
    <row r="4"/>
    <row r="5" ht="28" customHeight="1">
      <c r="A5" s="3" t="inlineStr">
        <is>
          <t>ID TAREA / FASE</t>
        </is>
      </c>
      <c r="B5" s="3" t="inlineStr">
        <is>
          <t>RESPONSABLE</t>
        </is>
      </c>
      <c r="C5" s="3" t="inlineStr">
        <is>
          <t>PROGRESO</t>
        </is>
      </c>
      <c r="D5" s="3" t="inlineStr">
        <is>
          <t>FECHA INICIO</t>
        </is>
      </c>
      <c r="E5" s="3" t="inlineStr">
        <is>
          <t>FECHA TÉRMINO</t>
        </is>
      </c>
      <c r="F5" s="3" t="inlineStr">
        <is>
          <t>DURACIÓN (DÍAS)</t>
        </is>
      </c>
    </row>
    <row r="6" ht="20" customHeight="1">
      <c r="A6" s="4" t="inlineStr">
        <is>
          <t>FASE 1: ANÁLISIS DEL PROYECTO</t>
        </is>
      </c>
      <c r="B6" s="5" t="n"/>
      <c r="C6" s="5" t="n"/>
      <c r="D6" s="5" t="n"/>
      <c r="E6" s="5" t="n"/>
      <c r="F6" s="6" t="n"/>
    </row>
    <row r="7" ht="20" customHeight="1">
      <c r="A7" s="7" t="inlineStr">
        <is>
          <t>Análisis del Caso SecuPass</t>
        </is>
      </c>
      <c r="B7" s="8" t="inlineStr">
        <is>
          <t>Matías Soto</t>
        </is>
      </c>
      <c r="C7" s="9" t="n">
        <v>1</v>
      </c>
      <c r="D7" s="8" t="inlineStr">
        <is>
          <t>2026-03-26</t>
        </is>
      </c>
      <c r="E7" s="8" t="inlineStr">
        <is>
          <t>2026-03-28</t>
        </is>
      </c>
      <c r="F7" s="10">
        <f>IF(AND(D7&lt;&gt;"",E7&lt;&gt;""), E7-D7+1, "")</f>
        <v/>
      </c>
    </row>
    <row r="8" ht="20" customHeight="1">
      <c r="A8" s="11" t="inlineStr">
        <is>
          <t>Levantamiento de Requerimientos</t>
        </is>
      </c>
      <c r="B8" s="12" t="inlineStr">
        <is>
          <t>Matías Soto</t>
        </is>
      </c>
      <c r="C8" s="13" t="n">
        <v>1</v>
      </c>
      <c r="D8" s="12" t="inlineStr">
        <is>
          <t>2026-03-28</t>
        </is>
      </c>
      <c r="E8" s="12" t="inlineStr">
        <is>
          <t>2026-03-30</t>
        </is>
      </c>
      <c r="F8" s="14">
        <f>IF(AND(D8&lt;&gt;"",E8&lt;&gt;""), E8-D8+1, "")</f>
        <v/>
      </c>
    </row>
    <row r="9" ht="20" customHeight="1">
      <c r="A9" s="7" t="inlineStr">
        <is>
          <t>Definición de Actores y Roles</t>
        </is>
      </c>
      <c r="B9" s="8" t="inlineStr">
        <is>
          <t>Bastian Flores</t>
        </is>
      </c>
      <c r="C9" s="9" t="n">
        <v>1</v>
      </c>
      <c r="D9" s="8" t="inlineStr">
        <is>
          <t>2026-03-28</t>
        </is>
      </c>
      <c r="E9" s="8" t="inlineStr">
        <is>
          <t>2026-03-30</t>
        </is>
      </c>
      <c r="F9" s="10">
        <f>IF(AND(D9&lt;&gt;"",E9&lt;&gt;""), E9-D9+1, "")</f>
        <v/>
      </c>
    </row>
    <row r="10" ht="20" customHeight="1">
      <c r="A10" s="4" t="inlineStr">
        <is>
          <t>FASE 2: DOCUMENTACIÓN</t>
        </is>
      </c>
      <c r="B10" s="5" t="n"/>
      <c r="C10" s="5" t="n"/>
      <c r="D10" s="5" t="n"/>
      <c r="E10" s="5" t="n"/>
      <c r="F10" s="6" t="n"/>
    </row>
    <row r="11" ht="20" customHeight="1">
      <c r="A11" s="7" t="inlineStr">
        <is>
          <t>Informe ERS (IEEE 830)</t>
        </is>
      </c>
      <c r="B11" s="8" t="inlineStr">
        <is>
          <t>Bastian Flores</t>
        </is>
      </c>
      <c r="C11" s="9" t="n">
        <v>1</v>
      </c>
      <c r="D11" s="8" t="inlineStr">
        <is>
          <t>2026-03-26</t>
        </is>
      </c>
      <c r="E11" s="8" t="inlineStr">
        <is>
          <t>2026-03-30</t>
        </is>
      </c>
      <c r="F11" s="10">
        <f>IF(AND(D11&lt;&gt;"",E11&lt;&gt;""), E11-D11+1, "")</f>
        <v/>
      </c>
    </row>
    <row r="12" ht="20" customHeight="1">
      <c r="A12" s="11" t="inlineStr">
        <is>
          <t>Planilla de Requerimientos</t>
        </is>
      </c>
      <c r="B12" s="12" t="inlineStr">
        <is>
          <t>Matías Soto</t>
        </is>
      </c>
      <c r="C12" s="13" t="n">
        <v>1</v>
      </c>
      <c r="D12" s="12" t="inlineStr">
        <is>
          <t>2026-03-30</t>
        </is>
      </c>
      <c r="E12" s="12" t="inlineStr">
        <is>
          <t>2026-03-31</t>
        </is>
      </c>
      <c r="F12" s="14">
        <f>IF(AND(D12&lt;&gt;"",E12&lt;&gt;""), E12-D12+1, "")</f>
        <v/>
      </c>
    </row>
    <row r="13" ht="20" customHeight="1">
      <c r="A13" s="7" t="inlineStr">
        <is>
          <t>Definición de Req. Funcionales</t>
        </is>
      </c>
      <c r="B13" s="8" t="inlineStr">
        <is>
          <t>Matías Soto</t>
        </is>
      </c>
      <c r="C13" s="9" t="n">
        <v>1</v>
      </c>
      <c r="D13" s="8" t="inlineStr">
        <is>
          <t>2026-03-30</t>
        </is>
      </c>
      <c r="E13" s="8" t="inlineStr">
        <is>
          <t>2026-04-01</t>
        </is>
      </c>
      <c r="F13" s="10">
        <f>IF(AND(D13&lt;&gt;"",E13&lt;&gt;""), E13-D13+1, "")</f>
        <v/>
      </c>
    </row>
    <row r="14" ht="20" customHeight="1">
      <c r="A14" s="11" t="inlineStr">
        <is>
          <t>Definición de Req. No Funcionales</t>
        </is>
      </c>
      <c r="B14" s="12" t="inlineStr">
        <is>
          <t>Matías Soto</t>
        </is>
      </c>
      <c r="C14" s="13" t="n">
        <v>1</v>
      </c>
      <c r="D14" s="12" t="inlineStr">
        <is>
          <t>2026-03-31</t>
        </is>
      </c>
      <c r="E14" s="12" t="inlineStr">
        <is>
          <t>2026-04-01</t>
        </is>
      </c>
      <c r="F14" s="14">
        <f>IF(AND(D14&lt;&gt;"",E14&lt;&gt;""), E14-D14+1, "")</f>
        <v/>
      </c>
    </row>
    <row r="15" ht="20" customHeight="1">
      <c r="A15" s="4" t="inlineStr">
        <is>
          <t>FASE 3: PLANIFICACIÓN</t>
        </is>
      </c>
      <c r="B15" s="5" t="n"/>
      <c r="C15" s="5" t="n"/>
      <c r="D15" s="5" t="n"/>
      <c r="E15" s="5" t="n"/>
      <c r="F15" s="6" t="n"/>
    </row>
    <row r="16" ht="20" customHeight="1">
      <c r="A16" s="11" t="inlineStr">
        <is>
          <t>Carta Gantt</t>
        </is>
      </c>
      <c r="B16" s="12" t="inlineStr">
        <is>
          <t>Bastian Flores</t>
        </is>
      </c>
      <c r="C16" s="13" t="n">
        <v>1</v>
      </c>
      <c r="D16" s="12" t="inlineStr">
        <is>
          <t>2026-03-26</t>
        </is>
      </c>
      <c r="E16" s="12" t="inlineStr">
        <is>
          <t>2026-04-03</t>
        </is>
      </c>
      <c r="F16" s="14">
        <f>IF(AND(D16&lt;&gt;"",E16&lt;&gt;""), E16-D16+1, "")</f>
        <v/>
      </c>
    </row>
    <row r="17" ht="20" customHeight="1">
      <c r="A17" s="7" t="inlineStr">
        <is>
          <t>Diagrama EDT</t>
        </is>
      </c>
      <c r="B17" s="8" t="inlineStr">
        <is>
          <t>Eduardo Aguirre</t>
        </is>
      </c>
      <c r="C17" s="9" t="n">
        <v>1</v>
      </c>
      <c r="D17" s="8" t="inlineStr">
        <is>
          <t>2026-04-01</t>
        </is>
      </c>
      <c r="E17" s="8" t="inlineStr">
        <is>
          <t>2026-04-04</t>
        </is>
      </c>
      <c r="F17" s="10">
        <f>IF(AND(D17&lt;&gt;"",E17&lt;&gt;""), E17-D17+1, "")</f>
        <v/>
      </c>
    </row>
    <row r="18" ht="20" customHeight="1">
      <c r="A18" s="11" t="inlineStr">
        <is>
          <t>Estimación de Costos (Hora/Hombre)</t>
        </is>
      </c>
      <c r="B18" s="12" t="inlineStr">
        <is>
          <t>Bastian Flores</t>
        </is>
      </c>
      <c r="C18" s="13" t="n">
        <v>1</v>
      </c>
      <c r="D18" s="12" t="inlineStr">
        <is>
          <t>2026-04-03</t>
        </is>
      </c>
      <c r="E18" s="12" t="inlineStr">
        <is>
          <t>2026-04-05</t>
        </is>
      </c>
      <c r="F18" s="14">
        <f>IF(AND(D18&lt;&gt;"",E18&lt;&gt;""), E18-D18+1, "")</f>
        <v/>
      </c>
    </row>
    <row r="19" ht="20" customHeight="1">
      <c r="A19" s="7" t="inlineStr">
        <is>
          <t>Definición del Equipo de Trabajo</t>
        </is>
      </c>
      <c r="B19" s="8" t="inlineStr">
        <is>
          <t>Bastian Flores</t>
        </is>
      </c>
      <c r="C19" s="9" t="n">
        <v>1</v>
      </c>
      <c r="D19" s="8" t="inlineStr">
        <is>
          <t>2026-03-26</t>
        </is>
      </c>
      <c r="E19" s="8" t="inlineStr">
        <is>
          <t>2026-03-27</t>
        </is>
      </c>
      <c r="F19" s="10">
        <f>IF(AND(D19&lt;&gt;"",E19&lt;&gt;""), E19-D19+1, "")</f>
        <v/>
      </c>
    </row>
    <row r="20" ht="20" customHeight="1">
      <c r="A20" s="4" t="inlineStr">
        <is>
          <t>FASE 4: DISEÑO Y MODELAMIENTO</t>
        </is>
      </c>
      <c r="B20" s="5" t="n"/>
      <c r="C20" s="5" t="n"/>
      <c r="D20" s="5" t="n"/>
      <c r="E20" s="5" t="n"/>
      <c r="F20" s="6" t="n"/>
    </row>
    <row r="21" ht="20" customHeight="1">
      <c r="A21" s="7" t="inlineStr">
        <is>
          <t>Prototipado de Pantallas (Wireframes)</t>
        </is>
      </c>
      <c r="B21" s="8" t="inlineStr">
        <is>
          <t>Eduardo Aguirre</t>
        </is>
      </c>
      <c r="C21" s="9" t="n">
        <v>1</v>
      </c>
      <c r="D21" s="8" t="inlineStr">
        <is>
          <t>2026-04-03</t>
        </is>
      </c>
      <c r="E21" s="8" t="inlineStr">
        <is>
          <t>2026-04-05</t>
        </is>
      </c>
      <c r="F21" s="10">
        <f>IF(AND(D21&lt;&gt;"",E21&lt;&gt;""), E21-D21+1, "")</f>
        <v/>
      </c>
    </row>
    <row r="22" ht="20" customHeight="1">
      <c r="A22" s="11" t="inlineStr">
        <is>
          <t>Diagrama de Casos de Uso</t>
        </is>
      </c>
      <c r="B22" s="12" t="inlineStr">
        <is>
          <t>Eduardo Aguirre</t>
        </is>
      </c>
      <c r="C22" s="13" t="n">
        <v>1</v>
      </c>
      <c r="D22" s="12" t="inlineStr">
        <is>
          <t>2026-04-04</t>
        </is>
      </c>
      <c r="E22" s="12" t="inlineStr">
        <is>
          <t>2026-04-06</t>
        </is>
      </c>
      <c r="F22" s="14">
        <f>IF(AND(D22&lt;&gt;"",E22&lt;&gt;""), E22-D22+1, "")</f>
        <v/>
      </c>
    </row>
    <row r="23" ht="20" customHeight="1">
      <c r="A23" s="7" t="inlineStr">
        <is>
          <t>Planilla de Casos de Uso</t>
        </is>
      </c>
      <c r="B23" s="8" t="inlineStr">
        <is>
          <t>Matías Soto</t>
        </is>
      </c>
      <c r="C23" s="9" t="n">
        <v>1</v>
      </c>
      <c r="D23" s="8" t="inlineStr">
        <is>
          <t>2026-04-04</t>
        </is>
      </c>
      <c r="E23" s="8" t="inlineStr">
        <is>
          <t>2026-04-06</t>
        </is>
      </c>
      <c r="F23" s="10">
        <f>IF(AND(D23&lt;&gt;"",E23&lt;&gt;""), E23-D23+1, "")</f>
        <v/>
      </c>
    </row>
    <row r="24" ht="20" customHeight="1">
      <c r="A24" s="4" t="inlineStr">
        <is>
          <t>FASE 5: CONTROL DE CALIDAD INICIAL</t>
        </is>
      </c>
      <c r="B24" s="5" t="n"/>
      <c r="C24" s="5" t="n"/>
      <c r="D24" s="5" t="n"/>
      <c r="E24" s="5" t="n"/>
      <c r="F24" s="6" t="n"/>
    </row>
    <row r="25" ht="20" customHeight="1">
      <c r="A25" s="7" t="inlineStr">
        <is>
          <t>Revisión ERS y Requerimientos</t>
        </is>
      </c>
      <c r="B25" s="8" t="inlineStr">
        <is>
          <t>Omar Piña</t>
        </is>
      </c>
      <c r="C25" s="9" t="n">
        <v>1</v>
      </c>
      <c r="D25" s="8" t="inlineStr">
        <is>
          <t>2026-04-04</t>
        </is>
      </c>
      <c r="E25" s="8" t="inlineStr">
        <is>
          <t>2026-04-05</t>
        </is>
      </c>
      <c r="F25" s="10">
        <f>IF(AND(D25&lt;&gt;"",E25&lt;&gt;""), E25-D25+1, "")</f>
        <v/>
      </c>
    </row>
    <row r="26" ht="20" customHeight="1">
      <c r="A26" s="11" t="inlineStr">
        <is>
          <t>Análisis de Calidad Diagramas</t>
        </is>
      </c>
      <c r="B26" s="12" t="inlineStr">
        <is>
          <t>Omar Piña</t>
        </is>
      </c>
      <c r="C26" s="13" t="n">
        <v>1</v>
      </c>
      <c r="D26" s="12" t="inlineStr">
        <is>
          <t>2026-04-05</t>
        </is>
      </c>
      <c r="E26" s="12" t="inlineStr">
        <is>
          <t>2026-04-06</t>
        </is>
      </c>
      <c r="F26" s="14">
        <f>IF(AND(D26&lt;&gt;"",E26&lt;&gt;""), E26-D26+1, "")</f>
        <v/>
      </c>
    </row>
    <row r="27" ht="20" customHeight="1">
      <c r="A27" s="7" t="inlineStr">
        <is>
          <t>Análisis de Calidad Prototipado</t>
        </is>
      </c>
      <c r="B27" s="8" t="inlineStr">
        <is>
          <t>Omar Piña</t>
        </is>
      </c>
      <c r="C27" s="9" t="n">
        <v>1</v>
      </c>
      <c r="D27" s="8" t="inlineStr">
        <is>
          <t>2026-04-05</t>
        </is>
      </c>
      <c r="E27" s="8" t="inlineStr">
        <is>
          <t>2026-04-06</t>
        </is>
      </c>
      <c r="F27" s="10">
        <f>IF(AND(D27&lt;&gt;"",E27&lt;&gt;""), E27-D27+1, "")</f>
        <v/>
      </c>
    </row>
    <row r="28" ht="20" customHeight="1">
      <c r="A28" s="4" t="inlineStr">
        <is>
          <t>FASE 6: DESARROLLO BACKEND (MICROSERVICIOS SPRING BOOT)</t>
        </is>
      </c>
      <c r="B28" s="5" t="n"/>
      <c r="C28" s="5" t="n"/>
      <c r="D28" s="5" t="n"/>
      <c r="E28" s="5" t="n"/>
      <c r="F28" s="6" t="n"/>
    </row>
    <row r="29" ht="20" customHeight="1">
      <c r="A29" s="7" t="inlineStr">
        <is>
          <t>Configuración Inicial y Eureka Server</t>
        </is>
      </c>
      <c r="B29" s="8" t="inlineStr">
        <is>
          <t>Bastian Flores</t>
        </is>
      </c>
      <c r="C29" s="9" t="n">
        <v>1</v>
      </c>
      <c r="D29" s="8" t="inlineStr">
        <is>
          <t>2026-06-16</t>
        </is>
      </c>
      <c r="E29" s="8" t="inlineStr">
        <is>
          <t>2026-06-20</t>
        </is>
      </c>
      <c r="F29" s="10">
        <f>IF(AND(D29&lt;&gt;"",E29&lt;&gt;""), E29-D29+1, "")</f>
        <v/>
      </c>
    </row>
    <row r="30" ht="20" customHeight="1">
      <c r="A30" s="11" t="inlineStr">
        <is>
          <t>Desarrollo del Servicio de Autenticación (Auth)</t>
        </is>
      </c>
      <c r="B30" s="12" t="inlineStr">
        <is>
          <t>Bastian Flores</t>
        </is>
      </c>
      <c r="C30" s="13" t="n">
        <v>1</v>
      </c>
      <c r="D30" s="12" t="inlineStr">
        <is>
          <t>2026-06-21</t>
        </is>
      </c>
      <c r="E30" s="12" t="inlineStr">
        <is>
          <t>2026-06-25</t>
        </is>
      </c>
      <c r="F30" s="14">
        <f>IF(AND(D30&lt;&gt;"",E30&lt;&gt;""), E30-D30+1, "")</f>
        <v/>
      </c>
    </row>
    <row r="31" ht="20" customHeight="1">
      <c r="A31" s="7" t="inlineStr">
        <is>
          <t>Desarrollo de Servicios de Negocio (Vehicle/Docs/SAG)</t>
        </is>
      </c>
      <c r="B31" s="8" t="inlineStr">
        <is>
          <t>Bastian Flores</t>
        </is>
      </c>
      <c r="C31" s="9" t="n">
        <v>1</v>
      </c>
      <c r="D31" s="8" t="inlineStr">
        <is>
          <t>2026-06-25</t>
        </is>
      </c>
      <c r="E31" s="8" t="inlineStr">
        <is>
          <t>2026-07-01</t>
        </is>
      </c>
      <c r="F31" s="10">
        <f>IF(AND(D31&lt;&gt;"",E31&lt;&gt;""), E31-D31+1, "")</f>
        <v/>
      </c>
    </row>
    <row r="32" ht="20" customHeight="1">
      <c r="A32" s="11" t="inlineStr">
        <is>
          <t>Servicios de Apoyo y Base de Datos Flyway (Report/Audit)</t>
        </is>
      </c>
      <c r="B32" s="12" t="inlineStr">
        <is>
          <t>Bastian Flores</t>
        </is>
      </c>
      <c r="C32" s="13" t="n">
        <v>1</v>
      </c>
      <c r="D32" s="12" t="inlineStr">
        <is>
          <t>2026-07-01</t>
        </is>
      </c>
      <c r="E32" s="12" t="inlineStr">
        <is>
          <t>2026-07-04</t>
        </is>
      </c>
      <c r="F32" s="14">
        <f>IF(AND(D32&lt;&gt;"",E32&lt;&gt;""), E32-D32+1, "")</f>
        <v/>
      </c>
    </row>
    <row r="33" ht="20" customHeight="1">
      <c r="A33" s="4" t="inlineStr">
        <is>
          <t>FASE 7: DESARROLLO FRONTEND</t>
        </is>
      </c>
      <c r="B33" s="5" t="n"/>
      <c r="C33" s="5" t="n"/>
      <c r="D33" s="5" t="n"/>
      <c r="E33" s="5" t="n"/>
      <c r="F33" s="6" t="n"/>
    </row>
    <row r="34" ht="20" customHeight="1">
      <c r="A34" s="11" t="inlineStr">
        <is>
          <t>Diseño de Maquetas y Componentes Base</t>
        </is>
      </c>
      <c r="B34" s="12" t="inlineStr">
        <is>
          <t>Eduardo Aguirre</t>
        </is>
      </c>
      <c r="C34" s="13" t="n">
        <v>1</v>
      </c>
      <c r="D34" s="12" t="inlineStr">
        <is>
          <t>2026-06-16</t>
        </is>
      </c>
      <c r="E34" s="12" t="inlineStr">
        <is>
          <t>2026-06-22</t>
        </is>
      </c>
      <c r="F34" s="14">
        <f>IF(AND(D34&lt;&gt;"",E34&lt;&gt;""), E34-D34+1, "")</f>
        <v/>
      </c>
    </row>
    <row r="35" ht="20" customHeight="1">
      <c r="A35" s="7" t="inlineStr">
        <is>
          <t>Desarrollo de Vistas (Pasajeros, Vehículos, SAG, Reportes)</t>
        </is>
      </c>
      <c r="B35" s="8" t="inlineStr">
        <is>
          <t>Eduardo Aguirre</t>
        </is>
      </c>
      <c r="C35" s="9" t="n">
        <v>0.7</v>
      </c>
      <c r="D35" s="8" t="inlineStr">
        <is>
          <t>2026-06-23</t>
        </is>
      </c>
      <c r="E35" s="8" t="inlineStr">
        <is>
          <t>2026-07-08</t>
        </is>
      </c>
      <c r="F35" s="10">
        <f>IF(AND(D35&lt;&gt;"",E35&lt;&gt;""), E35-D35+1, "")</f>
        <v/>
      </c>
    </row>
    <row r="36" ht="20" customHeight="1">
      <c r="A36" s="4" t="inlineStr">
        <is>
          <t>FASE 8: CONTROL DE CALIDAD - INFRAESTRUCTURA</t>
        </is>
      </c>
      <c r="B36" s="5" t="n"/>
      <c r="C36" s="5" t="n"/>
      <c r="D36" s="5" t="n"/>
      <c r="E36" s="5" t="n"/>
      <c r="F36" s="6" t="n"/>
    </row>
    <row r="37" ht="20" customHeight="1">
      <c r="A37" s="7" t="inlineStr">
        <is>
          <t>Ejecución de Pruebas de Integración (CP_SP_021 a CP_SP_026)</t>
        </is>
      </c>
      <c r="B37" s="8" t="inlineStr">
        <is>
          <t>Bastian Flores</t>
        </is>
      </c>
      <c r="C37" s="9" t="n">
        <v>1</v>
      </c>
      <c r="D37" s="8" t="inlineStr">
        <is>
          <t>2026-07-01</t>
        </is>
      </c>
      <c r="E37" s="8" t="inlineStr">
        <is>
          <t>2026-07-04</t>
        </is>
      </c>
      <c r="F37" s="10">
        <f>IF(AND(D37&lt;&gt;"",E37&lt;&gt;""), E37-D37+1, "")</f>
        <v/>
      </c>
    </row>
    <row r="38" ht="20" customHeight="1">
      <c r="A38" s="11" t="inlineStr">
        <is>
          <t>Corrección de Defectos Técnicos (Puertos, Versiones y Esquemas)</t>
        </is>
      </c>
      <c r="B38" s="12" t="inlineStr">
        <is>
          <t>Bastian Flores</t>
        </is>
      </c>
      <c r="C38" s="13" t="n">
        <v>1</v>
      </c>
      <c r="D38" s="12" t="inlineStr">
        <is>
          <t>2026-07-03</t>
        </is>
      </c>
      <c r="E38" s="12" t="inlineStr">
        <is>
          <t>2026-07-05</t>
        </is>
      </c>
      <c r="F38" s="14">
        <f>IF(AND(D38&lt;&gt;"",E38&lt;&gt;""), E38-D38+1, "")</f>
        <v/>
      </c>
    </row>
    <row r="39" ht="20" customHeight="1">
      <c r="A39" s="7" t="inlineStr">
        <is>
          <t>Validación de Requisitos Técnicos e Infraestructura</t>
        </is>
      </c>
      <c r="B39" s="8" t="inlineStr">
        <is>
          <t>Matías Soto</t>
        </is>
      </c>
      <c r="C39" s="9" t="n">
        <v>1</v>
      </c>
      <c r="D39" s="8" t="inlineStr">
        <is>
          <t>2026-07-04</t>
        </is>
      </c>
      <c r="E39" s="8" t="inlineStr">
        <is>
          <t>2026-07-05</t>
        </is>
      </c>
      <c r="F39" s="10">
        <f>IF(AND(D39&lt;&gt;"",E39&lt;&gt;""), E39-D39+1, "")</f>
        <v/>
      </c>
    </row>
    <row r="40" ht="20" customHeight="1">
      <c r="A40" s="4" t="inlineStr">
        <is>
          <t>FASE 9: INTEGRACIÓN Y PRUEBAS FUNCIONALES (ISO 25000)</t>
        </is>
      </c>
      <c r="B40" s="5" t="n"/>
      <c r="C40" s="5" t="n"/>
      <c r="D40" s="5" t="n"/>
      <c r="E40" s="5" t="n"/>
      <c r="F40" s="6" t="n"/>
    </row>
    <row r="41" ht="20" customHeight="1">
      <c r="A41" s="7" t="inlineStr">
        <is>
          <t>Integración Frontend - Backend vía API-Gateway</t>
        </is>
      </c>
      <c r="B41" s="8" t="inlineStr">
        <is>
          <t>Eduardo Aguirre</t>
        </is>
      </c>
      <c r="C41" s="9" t="n">
        <v>0.2</v>
      </c>
      <c r="D41" s="8" t="inlineStr">
        <is>
          <t>2026-07-06</t>
        </is>
      </c>
      <c r="E41" s="8" t="inlineStr">
        <is>
          <t>2026-07-10</t>
        </is>
      </c>
      <c r="F41" s="10">
        <f>IF(AND(D41&lt;&gt;"",E41&lt;&gt;""), E41-D41+1, "")</f>
        <v/>
      </c>
    </row>
    <row r="42" ht="20" customHeight="1">
      <c r="A42" s="11" t="inlineStr">
        <is>
          <t>Diseño Definitivo de Casos de Prueba Funcionales</t>
        </is>
      </c>
      <c r="B42" s="12" t="inlineStr">
        <is>
          <t>Omar Piña</t>
        </is>
      </c>
      <c r="C42" s="13" t="n">
        <v>1</v>
      </c>
      <c r="D42" s="12" t="inlineStr">
        <is>
          <t>2026-07-05</t>
        </is>
      </c>
      <c r="E42" s="12" t="inlineStr">
        <is>
          <t>2026-07-07</t>
        </is>
      </c>
      <c r="F42" s="14">
        <f>IF(AND(D42&lt;&gt;"",E42&lt;&gt;""), E42-D42+1, "")</f>
        <v/>
      </c>
    </row>
    <row r="43" ht="20" customHeight="1">
      <c r="A43" s="7" t="inlineStr">
        <is>
          <t>Ejecución de Pruebas Funcionales de Sistema (Módulos UI)</t>
        </is>
      </c>
      <c r="B43" s="8" t="inlineStr">
        <is>
          <t>Omar Piña</t>
        </is>
      </c>
      <c r="C43" s="9" t="n">
        <v>0</v>
      </c>
      <c r="D43" s="8" t="inlineStr">
        <is>
          <t>2026-07-09</t>
        </is>
      </c>
      <c r="E43" s="8" t="inlineStr">
        <is>
          <t>2026-07-15</t>
        </is>
      </c>
      <c r="F43" s="10">
        <f>IF(AND(D43&lt;&gt;"",E43&lt;&gt;""), E43-D43+1, "")</f>
        <v/>
      </c>
    </row>
    <row r="44" ht="20" customHeight="1">
      <c r="A44" s="11" t="inlineStr">
        <is>
          <t>Análisis de Cobertura de Requisitos Funcionales</t>
        </is>
      </c>
      <c r="B44" s="12" t="inlineStr">
        <is>
          <t>Matías Soto</t>
        </is>
      </c>
      <c r="C44" s="13" t="n">
        <v>0</v>
      </c>
      <c r="D44" s="12" t="inlineStr">
        <is>
          <t>2026-07-12</t>
        </is>
      </c>
      <c r="E44" s="12" t="inlineStr">
        <is>
          <t>2026-07-15</t>
        </is>
      </c>
      <c r="F44" s="14">
        <f>IF(AND(D44&lt;&gt;"",E44&lt;&gt;""), E44-D44+1, "")</f>
        <v/>
      </c>
    </row>
    <row r="45" ht="20" customHeight="1">
      <c r="A45" s="7" t="inlineStr">
        <is>
          <t>Gestión, Mitigación y Reporte de Defectos Funcionales</t>
        </is>
      </c>
      <c r="B45" s="8" t="inlineStr">
        <is>
          <t>Omar Piña</t>
        </is>
      </c>
      <c r="C45" s="9" t="n">
        <v>0</v>
      </c>
      <c r="D45" s="8" t="inlineStr">
        <is>
          <t>2026-07-10</t>
        </is>
      </c>
      <c r="E45" s="8" t="inlineStr">
        <is>
          <t>2026-07-16</t>
        </is>
      </c>
      <c r="F45" s="10">
        <f>IF(AND(D45&lt;&gt;"",E45&lt;&gt;""), E45-D45+1, "")</f>
        <v/>
      </c>
    </row>
    <row r="46" ht="20" customHeight="1">
      <c r="A46" s="4" t="inlineStr">
        <is>
          <t>FASE 10: HITOS Y EVALUACIONES DE ASIGNATURA</t>
        </is>
      </c>
      <c r="B46" s="5" t="n"/>
      <c r="C46" s="5" t="n"/>
      <c r="D46" s="5" t="n"/>
      <c r="E46" s="5" t="n"/>
      <c r="F46" s="6" t="n"/>
    </row>
    <row r="47" ht="20" customHeight="1">
      <c r="A47" s="7" t="inlineStr">
        <is>
          <t>Cierre de Código y Pruebas de Regresión</t>
        </is>
      </c>
      <c r="B47" s="8" t="inlineStr">
        <is>
          <t>Todos</t>
        </is>
      </c>
      <c r="C47" s="9" t="n">
        <v>0</v>
      </c>
      <c r="D47" s="8" t="inlineStr">
        <is>
          <t>2026-07-16</t>
        </is>
      </c>
      <c r="E47" s="8" t="inlineStr">
        <is>
          <t>2026-07-18</t>
        </is>
      </c>
      <c r="F47" s="10">
        <f>IF(AND(D47&lt;&gt;"",E47&lt;&gt;""), E47-D47+1, "")</f>
        <v/>
      </c>
    </row>
    <row r="48" ht="20" customHeight="1">
      <c r="A48" s="11" t="inlineStr">
        <is>
          <t>Compilación de Entregables Finales y Reportes</t>
        </is>
      </c>
      <c r="B48" s="12" t="inlineStr">
        <is>
          <t>Bastian Flores</t>
        </is>
      </c>
      <c r="C48" s="13" t="n">
        <v>0</v>
      </c>
      <c r="D48" s="12" t="inlineStr">
        <is>
          <t>2026-07-17</t>
        </is>
      </c>
      <c r="E48" s="12" t="inlineStr">
        <is>
          <t>2026-07-19</t>
        </is>
      </c>
      <c r="F48" s="14">
        <f>IF(AND(D48&lt;&gt;"",E48&lt;&gt;""), E48-D48+1, "")</f>
        <v/>
      </c>
    </row>
    <row r="49" ht="20" customHeight="1">
      <c r="A49" s="7" t="inlineStr">
        <is>
          <t>HITO: Situación Evaluativa 1 (Entrega del Encargo EP3)</t>
        </is>
      </c>
      <c r="B49" s="8" t="inlineStr">
        <is>
          <t>Todos</t>
        </is>
      </c>
      <c r="C49" s="9" t="n">
        <v>0</v>
      </c>
      <c r="D49" s="8" t="inlineStr">
        <is>
          <t>2026-07-20</t>
        </is>
      </c>
      <c r="E49" s="8" t="inlineStr">
        <is>
          <t>2026-07-20</t>
        </is>
      </c>
      <c r="F49" s="10">
        <f>IF(AND(D49&lt;&gt;"",E49&lt;&gt;""), E49-D49+1, "")</f>
        <v/>
      </c>
    </row>
    <row r="50" ht="20" customHeight="1">
      <c r="A50" s="11" t="inlineStr">
        <is>
          <t>HITO: Situación Evaluativa 2 (Presentación Final / Examen)</t>
        </is>
      </c>
      <c r="B50" s="12" t="inlineStr">
        <is>
          <t>Todos</t>
        </is>
      </c>
      <c r="C50" s="13" t="n">
        <v>0</v>
      </c>
      <c r="D50" s="12" t="inlineStr">
        <is>
          <t>2026-07-22</t>
        </is>
      </c>
      <c r="E50" s="12" t="inlineStr">
        <is>
          <t>2026-07-22</t>
        </is>
      </c>
      <c r="F50" s="14">
        <f>IF(AND(D50&lt;&gt;"",E50&lt;&gt;""), E50-D50+1, "")</f>
        <v/>
      </c>
    </row>
  </sheetData>
  <mergeCells count="10">
    <mergeCell ref="A24:F24"/>
    <mergeCell ref="A33:F33"/>
    <mergeCell ref="A10:F10"/>
    <mergeCell ref="A28:F28"/>
    <mergeCell ref="A46:F46"/>
    <mergeCell ref="A36:F36"/>
    <mergeCell ref="A6:F6"/>
    <mergeCell ref="A40:F40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2026-07-06T15:08:59Z</dcterms:created>
  <dcterms:modified xmlns:dcterms="http://purl.org/dc/terms/" xmlns:xsi="http://www.w3.org/2001/XMLSchema-instance" xsi:type="dcterms:W3CDTF">2026-07-06T15:08:59Z</dcterms:modified>
</cp:coreProperties>
</file>